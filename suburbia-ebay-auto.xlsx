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n 2026" sheetId="1" state="visible" r:id="rId1"/>
    <sheet xmlns:r="http://schemas.openxmlformats.org/officeDocument/2006/relationships" name="Jul 2026" sheetId="2" state="visible" r:id="rId2"/>
    <sheet xmlns:r="http://schemas.openxmlformats.org/officeDocument/2006/relationships" name="Aug 2026" sheetId="3" state="visible" r:id="rId3"/>
    <sheet xmlns:r="http://schemas.openxmlformats.org/officeDocument/2006/relationships" name="Sep 2026" sheetId="4" state="visible" r:id="rId4"/>
    <sheet xmlns:r="http://schemas.openxmlformats.org/officeDocument/2006/relationships" name="Oct 2026" sheetId="5" state="visible" r:id="rId5"/>
    <sheet xmlns:r="http://schemas.openxmlformats.org/officeDocument/2006/relationships" name="Nov 2026" sheetId="6" state="visible" r:id="rId6"/>
    <sheet xmlns:r="http://schemas.openxmlformats.org/officeDocument/2006/relationships" name="Dec 2026" sheetId="7" state="visible" r:id="rId7"/>
    <sheet xmlns:r="http://schemas.openxmlformats.org/officeDocument/2006/relationships" name="Year 2026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.00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2"/>
    </font>
    <font>
      <b val="1"/>
      <color rgb="00FFFFFF"/>
      <sz val="11"/>
    </font>
    <font>
      <sz val="11"/>
    </font>
    <font>
      <b val="1"/>
      <sz val="11"/>
    </font>
    <font>
      <b val="1"/>
      <color rgb="00375623"/>
    </font>
    <font/>
    <font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164" fontId="0" fillId="0" borderId="1" applyAlignment="1" pivotButton="0" quotePrefix="0" xfId="0">
      <alignment horizontal="right"/>
    </xf>
    <xf numFmtId="49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5" fillId="4" borderId="1" pivotButton="0" quotePrefix="0" xfId="0"/>
    <xf numFmtId="164" fontId="5" fillId="4" borderId="1" applyAlignment="1" pivotButton="0" quotePrefix="0" xfId="0">
      <alignment horizontal="right"/>
    </xf>
    <xf numFmtId="0" fontId="4" fillId="6" borderId="1" pivotButton="0" quotePrefix="0" xfId="0"/>
    <xf numFmtId="164" fontId="0" fillId="6" borderId="1" applyAlignment="1" pivotButton="0" quotePrefix="0" xfId="0">
      <alignment horizontal="right"/>
    </xf>
    <xf numFmtId="0" fontId="6" fillId="5" borderId="1" pivotButton="0" quotePrefix="0" xfId="0"/>
    <xf numFmtId="164" fontId="6" fillId="5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3" fontId="0" fillId="0" borderId="1" applyAlignment="1" pivotButton="0" quotePrefix="0" xfId="0">
      <alignment horizontal="right"/>
    </xf>
    <xf numFmtId="0" fontId="3" fillId="3" borderId="1" applyAlignment="1" pivotButton="0" quotePrefix="0" xfId="0">
      <alignment horizontal="center"/>
    </xf>
    <xf numFmtId="3" fontId="0" fillId="6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0" fontId="2" fillId="2" borderId="0" pivotButton="0" quotePrefix="0" xfId="0"/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0" fontId="3" fillId="3" borderId="0" pivotButton="0" quotePrefix="0" xfId="0"/>
    <xf numFmtId="0" fontId="8" fillId="4" borderId="1" pivotButton="0" quotePrefix="0" xfId="0"/>
    <xf numFmtId="164" fontId="8" fillId="4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3" fontId="7" fillId="0" borderId="1" applyAlignment="1" pivotButton="0" quotePrefix="0" xfId="0">
      <alignment horizontal="right"/>
    </xf>
    <xf numFmtId="0" fontId="7" fillId="0" borderId="0" pivotButton="0" quotePrefix="0" xfId="0"/>
    <xf numFmtId="164" fontId="7" fillId="0" borderId="0" pivotButton="0" quotePrefix="0" xfId="0"/>
    <xf numFmtId="0" fontId="3" fillId="3" borderId="0" applyAlignment="1" pivotButton="0" quotePrefix="0" xfId="0">
      <alignment horizontal="center"/>
    </xf>
    <xf numFmtId="49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/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32" t="inlineStr">
        <is>
          <t>02.06.2026</t>
        </is>
      </c>
      <c r="J6" s="33" t="inlineStr">
        <is>
          <t>25x 11w G23 Bulbs</t>
        </is>
      </c>
      <c r="K6" s="33" t="inlineStr">
        <is>
          <t>Stock</t>
        </is>
      </c>
      <c r="L6" s="34" t="n">
        <v>70.3</v>
      </c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32" t="inlineStr">
        <is>
          <t>02.06.2026</t>
        </is>
      </c>
      <c r="J7" s="33" t="inlineStr">
        <is>
          <t>100x eBay Padded Envelopes</t>
        </is>
      </c>
      <c r="K7" s="33" t="inlineStr">
        <is>
          <t>Packaging</t>
        </is>
      </c>
      <c r="L7" s="34" t="n">
        <v>6.07</v>
      </c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32" t="inlineStr">
        <is>
          <t>10.06.2026</t>
        </is>
      </c>
      <c r="J8" s="33" t="inlineStr">
        <is>
          <t>200x T10 Halogen Bulbs</t>
        </is>
      </c>
      <c r="K8" s="33" t="inlineStr">
        <is>
          <t>Stock</t>
        </is>
      </c>
      <c r="L8" s="34" t="n">
        <v>15.08</v>
      </c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32" t="inlineStr">
        <is>
          <t>10.06.2026</t>
        </is>
      </c>
      <c r="J9" s="33" t="inlineStr">
        <is>
          <t>Scissors</t>
        </is>
      </c>
      <c r="K9" s="33" t="inlineStr">
        <is>
          <t>Equipment</t>
        </is>
      </c>
      <c r="L9" s="34" t="n">
        <v>8.99</v>
      </c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32" t="inlineStr">
        <is>
          <t>14.06.2026</t>
        </is>
      </c>
      <c r="J10" s="33" t="inlineStr">
        <is>
          <t>50x 581 Amber Bulbs</t>
        </is>
      </c>
      <c r="K10" s="33" t="inlineStr">
        <is>
          <t>Stock</t>
        </is>
      </c>
      <c r="L10" s="34" t="n">
        <v>29.95</v>
      </c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32" t="inlineStr">
        <is>
          <t>22.06.2026</t>
        </is>
      </c>
      <c r="J11" s="33" t="inlineStr">
        <is>
          <t>100x T15 100x T10 57 SMD 30x T10 8v LED</t>
        </is>
      </c>
      <c r="K11" s="33" t="inlineStr">
        <is>
          <t>Stock</t>
        </is>
      </c>
      <c r="L11" s="34" t="n">
        <v>88.81999999999999</v>
      </c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/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/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/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/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/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/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2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superfly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aqualightingsolutions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autolightingsolutions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lightingdepot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premiumlightingsolutions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vividlighting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J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4" customHeight="1">
      <c r="A1" s="1" t="inlineStr">
        <is>
          <t>YEAR-TO-DATE 2026</t>
        </is>
      </c>
    </row>
    <row r="3">
      <c r="A3" s="18" t="inlineStr">
        <is>
          <t>MONTH</t>
        </is>
      </c>
      <c r="B3" s="18" t="inlineStr">
        <is>
          <t>ITEM SALES</t>
        </is>
      </c>
      <c r="C3" s="18" t="inlineStr">
        <is>
          <t>REFUNDS</t>
        </is>
      </c>
      <c r="D3" s="18" t="inlineStr">
        <is>
          <t>NET INCOME</t>
        </is>
      </c>
      <c r="E3" s="18" t="inlineStr">
        <is>
          <t>EBAY FEES</t>
        </is>
      </c>
      <c r="F3" s="18" t="inlineStr">
        <is>
          <t>ADS</t>
        </is>
      </c>
      <c r="G3" s="18" t="inlineStr">
        <is>
          <t>POSTAGE</t>
        </is>
      </c>
      <c r="H3" s="18" t="inlineStr">
        <is>
          <t>OTHER</t>
        </is>
      </c>
      <c r="I3" s="18" t="inlineStr">
        <is>
          <t>NET PROFIT</t>
        </is>
      </c>
      <c r="J3" s="31" t="inlineStr">
        <is>
          <t>ORDERS</t>
        </is>
      </c>
    </row>
    <row r="4">
      <c r="A4" s="5" t="inlineStr">
        <is>
          <t>Jun</t>
        </is>
      </c>
      <c r="B4" s="6">
        <f>IFERROR('Jun 2026'!O4,0)</f>
        <v/>
      </c>
      <c r="C4" s="6">
        <f>IFERROR('Jun 2026'!O5,0)</f>
        <v/>
      </c>
      <c r="D4" s="6">
        <f>IFERROR('Jun 2026'!O6,0)</f>
        <v/>
      </c>
      <c r="E4" s="6">
        <f>IFERROR('Jun 2026'!O7,0)</f>
        <v/>
      </c>
      <c r="F4" s="6">
        <f>IFERROR('Jun 2026'!O8,0)</f>
        <v/>
      </c>
      <c r="G4" s="6">
        <f>IFERROR('Jun 2026'!O9,0)</f>
        <v/>
      </c>
      <c r="H4" s="6">
        <f>IFERROR('Jun 2026'!O10,0)</f>
        <v/>
      </c>
      <c r="I4" s="6">
        <f>IFERROR('Jun 2026'!O11,0)</f>
        <v/>
      </c>
      <c r="J4" s="8">
        <f>IFERROR('Jun 2026'!O13,0)</f>
        <v/>
      </c>
    </row>
    <row r="5">
      <c r="A5" s="12" t="inlineStr">
        <is>
          <t>Jul</t>
        </is>
      </c>
      <c r="B5" s="13">
        <f>IFERROR('Jul 2026'!O4,0)</f>
        <v/>
      </c>
      <c r="C5" s="13">
        <f>IFERROR('Jul 2026'!O5,0)</f>
        <v/>
      </c>
      <c r="D5" s="13">
        <f>IFERROR('Jul 2026'!O6,0)</f>
        <v/>
      </c>
      <c r="E5" s="13">
        <f>IFERROR('Jul 2026'!O7,0)</f>
        <v/>
      </c>
      <c r="F5" s="13">
        <f>IFERROR('Jul 2026'!O8,0)</f>
        <v/>
      </c>
      <c r="G5" s="13">
        <f>IFERROR('Jul 2026'!O9,0)</f>
        <v/>
      </c>
      <c r="H5" s="13">
        <f>IFERROR('Jul 2026'!O10,0)</f>
        <v/>
      </c>
      <c r="I5" s="13">
        <f>IFERROR('Jul 2026'!O11,0)</f>
        <v/>
      </c>
      <c r="J5" s="8">
        <f>IFERROR('Jul 2026'!O13,0)</f>
        <v/>
      </c>
    </row>
    <row r="6">
      <c r="A6" s="5" t="inlineStr">
        <is>
          <t>Aug</t>
        </is>
      </c>
      <c r="B6" s="6">
        <f>IFERROR('Aug 2026'!O4,0)</f>
        <v/>
      </c>
      <c r="C6" s="6">
        <f>IFERROR('Aug 2026'!O5,0)</f>
        <v/>
      </c>
      <c r="D6" s="6">
        <f>IFERROR('Aug 2026'!O6,0)</f>
        <v/>
      </c>
      <c r="E6" s="6">
        <f>IFERROR('Aug 2026'!O7,0)</f>
        <v/>
      </c>
      <c r="F6" s="6">
        <f>IFERROR('Aug 2026'!O8,0)</f>
        <v/>
      </c>
      <c r="G6" s="6">
        <f>IFERROR('Aug 2026'!O9,0)</f>
        <v/>
      </c>
      <c r="H6" s="6">
        <f>IFERROR('Aug 2026'!O10,0)</f>
        <v/>
      </c>
      <c r="I6" s="6">
        <f>IFERROR('Aug 2026'!O11,0)</f>
        <v/>
      </c>
      <c r="J6" s="8">
        <f>IFERROR('Aug 2026'!O13,0)</f>
        <v/>
      </c>
    </row>
    <row r="7">
      <c r="A7" s="12" t="inlineStr">
        <is>
          <t>Sep</t>
        </is>
      </c>
      <c r="B7" s="13">
        <f>IFERROR('Sep 2026'!O4,0)</f>
        <v/>
      </c>
      <c r="C7" s="13">
        <f>IFERROR('Sep 2026'!O5,0)</f>
        <v/>
      </c>
      <c r="D7" s="13">
        <f>IFERROR('Sep 2026'!O6,0)</f>
        <v/>
      </c>
      <c r="E7" s="13">
        <f>IFERROR('Sep 2026'!O7,0)</f>
        <v/>
      </c>
      <c r="F7" s="13">
        <f>IFERROR('Sep 2026'!O8,0)</f>
        <v/>
      </c>
      <c r="G7" s="13">
        <f>IFERROR('Sep 2026'!O9,0)</f>
        <v/>
      </c>
      <c r="H7" s="13">
        <f>IFERROR('Sep 2026'!O10,0)</f>
        <v/>
      </c>
      <c r="I7" s="13">
        <f>IFERROR('Sep 2026'!O11,0)</f>
        <v/>
      </c>
      <c r="J7" s="8">
        <f>IFERROR('Sep 2026'!O13,0)</f>
        <v/>
      </c>
    </row>
    <row r="8">
      <c r="A8" s="5" t="inlineStr">
        <is>
          <t>Oct</t>
        </is>
      </c>
      <c r="B8" s="6">
        <f>IFERROR('Oct 2026'!O4,0)</f>
        <v/>
      </c>
      <c r="C8" s="6">
        <f>IFERROR('Oct 2026'!O5,0)</f>
        <v/>
      </c>
      <c r="D8" s="6">
        <f>IFERROR('Oct 2026'!O6,0)</f>
        <v/>
      </c>
      <c r="E8" s="6">
        <f>IFERROR('Oct 2026'!O7,0)</f>
        <v/>
      </c>
      <c r="F8" s="6">
        <f>IFERROR('Oct 2026'!O8,0)</f>
        <v/>
      </c>
      <c r="G8" s="6">
        <f>IFERROR('Oct 2026'!O9,0)</f>
        <v/>
      </c>
      <c r="H8" s="6">
        <f>IFERROR('Oct 2026'!O10,0)</f>
        <v/>
      </c>
      <c r="I8" s="6">
        <f>IFERROR('Oct 2026'!O11,0)</f>
        <v/>
      </c>
      <c r="J8" s="8">
        <f>IFERROR('Oct 2026'!O13,0)</f>
        <v/>
      </c>
    </row>
    <row r="9">
      <c r="A9" s="12" t="inlineStr">
        <is>
          <t>Nov</t>
        </is>
      </c>
      <c r="B9" s="13">
        <f>IFERROR('Nov 2026'!O4,0)</f>
        <v/>
      </c>
      <c r="C9" s="13">
        <f>IFERROR('Nov 2026'!O5,0)</f>
        <v/>
      </c>
      <c r="D9" s="13">
        <f>IFERROR('Nov 2026'!O6,0)</f>
        <v/>
      </c>
      <c r="E9" s="13">
        <f>IFERROR('Nov 2026'!O7,0)</f>
        <v/>
      </c>
      <c r="F9" s="13">
        <f>IFERROR('Nov 2026'!O8,0)</f>
        <v/>
      </c>
      <c r="G9" s="13">
        <f>IFERROR('Nov 2026'!O9,0)</f>
        <v/>
      </c>
      <c r="H9" s="13">
        <f>IFERROR('Nov 2026'!O10,0)</f>
        <v/>
      </c>
      <c r="I9" s="13">
        <f>IFERROR('Nov 2026'!O11,0)</f>
        <v/>
      </c>
      <c r="J9" s="8">
        <f>IFERROR('Nov 2026'!O13,0)</f>
        <v/>
      </c>
    </row>
    <row r="10">
      <c r="A10" s="5" t="inlineStr">
        <is>
          <t>Dec</t>
        </is>
      </c>
      <c r="B10" s="6">
        <f>IFERROR('Dec 2026'!O4,0)</f>
        <v/>
      </c>
      <c r="C10" s="6">
        <f>IFERROR('Dec 2026'!O5,0)</f>
        <v/>
      </c>
      <c r="D10" s="6">
        <f>IFERROR('Dec 2026'!O6,0)</f>
        <v/>
      </c>
      <c r="E10" s="6">
        <f>IFERROR('Dec 2026'!O7,0)</f>
        <v/>
      </c>
      <c r="F10" s="6">
        <f>IFERROR('Dec 2026'!O8,0)</f>
        <v/>
      </c>
      <c r="G10" s="6">
        <f>IFERROR('Dec 2026'!O9,0)</f>
        <v/>
      </c>
      <c r="H10" s="6">
        <f>IFERROR('Dec 2026'!O10,0)</f>
        <v/>
      </c>
      <c r="I10" s="6">
        <f>IFERROR('Dec 2026'!O11,0)</f>
        <v/>
      </c>
      <c r="J10" s="8">
        <f>IFERROR('Dec 2026'!O13,0)</f>
        <v/>
      </c>
    </row>
    <row r="11">
      <c r="A11" s="10" t="inlineStr">
        <is>
          <t>TOTAL</t>
        </is>
      </c>
      <c r="B11" s="11">
        <f>SUM(B4:B10)</f>
        <v/>
      </c>
      <c r="C11" s="11">
        <f>SUM(C4:C10)</f>
        <v/>
      </c>
      <c r="D11" s="11">
        <f>SUM(D4:D10)</f>
        <v/>
      </c>
      <c r="E11" s="11">
        <f>SUM(E4:E10)</f>
        <v/>
      </c>
      <c r="F11" s="11">
        <f>SUM(F4:F10)</f>
        <v/>
      </c>
      <c r="G11" s="11">
        <f>SUM(G4:G10)</f>
        <v/>
      </c>
      <c r="H11" s="11">
        <f>SUM(H4:H10)</f>
        <v/>
      </c>
      <c r="I11" s="11">
        <f>SUM(I4:I10)</f>
        <v/>
      </c>
      <c r="J11" s="8">
        <f>SUM(J4:J10)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2026-06-25T21:15:12Z</dcterms:created>
  <dcterms:modified xmlns:dcterms="http://purl.org/dc/terms/" xmlns:xsi="http://www.w3.org/2001/XMLSchema-instance" xsi:type="dcterms:W3CDTF">2026-06-27T11:52:27Z</dcterms:modified>
</cp:coreProperties>
</file>